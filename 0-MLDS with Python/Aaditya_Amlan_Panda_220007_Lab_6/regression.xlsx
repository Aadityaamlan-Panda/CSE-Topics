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<sst xmlns="http://schemas.openxmlformats.org/spreadsheetml/2006/main" count="26" uniqueCount="23">
  <si>
    <t xml:space="preserve">Regression</t>
  </si>
  <si>
    <t xml:space="preserve">Regression Model</t>
  </si>
  <si>
    <t xml:space="preserve">Linear</t>
  </si>
  <si>
    <t xml:space="preserve">LINEST raw output</t>
  </si>
  <si>
    <t xml:space="preserve">Regression Statistics</t>
  </si>
  <si>
    <t xml:space="preserve">R^2</t>
  </si>
  <si>
    <t xml:space="preserve">Standard Error</t>
  </si>
  <si>
    <t xml:space="preserve">Count of X variables</t>
  </si>
  <si>
    <t xml:space="preserve">Observations</t>
  </si>
  <si>
    <t xml:space="preserve">Adjusted R^2</t>
  </si>
  <si>
    <t xml:space="preserve">Analysis of Variance (ANOVA)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</si>
  <si>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</si>
  <si>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</si>
  <si>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</si>
  <si>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</si>
  <si>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</si>
  <si>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Residual</t>
  </si>
  <si>
    <t xml:space="preserve">Total</t>
  </si>
  <si>
    <t xml:space="preserve">Confidence level</t>
  </si>
  <si>
    <t xml:space="preserve">Coefficients</t>
  </si>
  <si>
    <t xml:space="preserve">t-Statistic</t>
  </si>
  <si>
    <t xml:space="preserve">P-value</t>
  </si>
  <si>
    <t xml:space="preserve">Predicted 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</si>
</sst>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B1" s="0" t="n">
        <v>10</v>
      </c>
      <c r="C1" s="0" t="n">
        <v>0.1333</v>
      </c>
      <c r="E1" s="0" t="n">
        <f aca="false">LN(B1)</f>
        <v>2.30258509299405</v>
      </c>
      <c r="F1" s="0" t="n">
        <f aca="false">LN(C1)</f>
        <v>-2.01515305179747</v>
      </c>
      <c r="H1" s="1" t="s">
        <v>0</v>
      </c>
    </row>
    <row r="2" customFormat="false" ht="12.8" hidden="false" customHeight="false" outlineLevel="0" collapsed="false">
      <c r="A2" s="0" t="n">
        <v>20</v>
      </c>
      <c r="B2" s="0" t="n">
        <v>8</v>
      </c>
      <c r="C2" s="0" t="n">
        <v>0.1031</v>
      </c>
      <c r="E2" s="0" t="n">
        <f aca="false">LN(B2)</f>
        <v>2.07944154167984</v>
      </c>
      <c r="F2" s="0" t="n">
        <f aca="false">LN(C2)</f>
        <v>-2.27205588795922</v>
      </c>
      <c r="H2" s="0" t="s">
        <v>1</v>
      </c>
      <c r="I2" s="0" t="s">
        <v>2</v>
      </c>
    </row>
    <row r="3" customFormat="false" ht="12.8" hidden="false" customHeight="false" outlineLevel="0" collapsed="false">
      <c r="A3" s="0" t="n">
        <v>40</v>
      </c>
      <c r="B3" s="0" t="n">
        <v>6</v>
      </c>
      <c r="C3" s="0" t="n">
        <v>0.0658</v>
      </c>
      <c r="E3" s="0" t="n">
        <f aca="false">LN(B3)</f>
        <v>1.79175946922806</v>
      </c>
      <c r="F3" s="0" t="n">
        <f aca="false">LN(C3)</f>
        <v>-2.72113544065087</v>
      </c>
    </row>
    <row r="4" customFormat="false" ht="12.8" hidden="false" customHeight="false" outlineLevel="0" collapsed="false">
      <c r="A4" s="0" t="n">
        <v>60</v>
      </c>
      <c r="B4" s="0" t="n">
        <v>5</v>
      </c>
      <c r="C4" s="0" t="n">
        <v>0.041</v>
      </c>
      <c r="E4" s="0" t="n">
        <f aca="false">LN(B4)</f>
        <v>1.6094379124341</v>
      </c>
      <c r="F4" s="0" t="n">
        <f aca="false">LN(C4)</f>
        <v>-3.19418321227783</v>
      </c>
      <c r="H4" s="0" t="s">
        <v>3</v>
      </c>
    </row>
    <row r="5" customFormat="false" ht="12.8" hidden="false" customHeight="false" outlineLevel="0" collapsed="false">
      <c r="A5" s="0" t="n">
        <v>120</v>
      </c>
      <c r="B5" s="0" t="n">
        <v>3</v>
      </c>
      <c r="C5" s="0" t="n">
        <v>0.0238</v>
      </c>
      <c r="E5" s="0" t="n">
        <f aca="false">LN(B5)</f>
        <v>1.09861228866811</v>
      </c>
      <c r="F5" s="0" t="n">
        <f aca="false">LN(C5)</f>
        <v>-3.73806969830471</v>
      </c>
      <c r="H5" s="0" t="n">
        <f aca="false" t="array" ref="H5:I9">LINEST($F$1:$F$7 , $E$1:$E$7 , 1 , 1)</f>
        <v>1.37533630816418</v>
      </c>
      <c r="I5" s="0" t="n">
        <v>-5.23908313938447</v>
      </c>
    </row>
    <row r="6" customFormat="false" ht="12.8" hidden="false" customHeight="false" outlineLevel="0" collapsed="false">
      <c r="A6" s="0" t="n">
        <v>180</v>
      </c>
      <c r="B6" s="0" t="n">
        <v>2</v>
      </c>
      <c r="C6" s="0" t="n">
        <v>0.0108</v>
      </c>
      <c r="E6" s="0" t="n">
        <f aca="false">LN(B6)</f>
        <v>0.693147180559945</v>
      </c>
      <c r="F6" s="0" t="n">
        <f aca="false">LN(C6)</f>
        <v>-4.52820914485196</v>
      </c>
      <c r="H6" s="0" t="n">
        <v>0.0853127148747234</v>
      </c>
      <c r="I6" s="0" t="n">
        <v>0.133395564585417</v>
      </c>
    </row>
    <row r="7" customFormat="false" ht="12.8" hidden="false" customHeight="false" outlineLevel="0" collapsed="false">
      <c r="A7" s="0" t="n">
        <v>300</v>
      </c>
      <c r="B7" s="0" t="n">
        <v>1</v>
      </c>
      <c r="C7" s="0" t="n">
        <v>0.0065</v>
      </c>
      <c r="E7" s="0" t="n">
        <f aca="false">LN(B7)</f>
        <v>0</v>
      </c>
      <c r="F7" s="0" t="n">
        <f aca="false">LN(C7)</f>
        <v>-5.03595310208055</v>
      </c>
      <c r="H7" s="0" t="n">
        <v>0.981124271052608</v>
      </c>
      <c r="I7" s="0" t="n">
        <v>0.170985126485564</v>
      </c>
    </row>
    <row r="8" customFormat="false" ht="12.8" hidden="false" customHeight="false" outlineLevel="0" collapsed="false">
      <c r="H8" s="0" t="n">
        <v>259.890432254847</v>
      </c>
      <c r="I8" s="0" t="n">
        <v>5</v>
      </c>
    </row>
    <row r="9" customFormat="false" ht="12.8" hidden="false" customHeight="false" outlineLevel="0" collapsed="false">
      <c r="H9" s="0" t="n">
        <v>7.59813419149647</v>
      </c>
      <c r="I9" s="0" t="n">
        <v>0.146179567396421</v>
      </c>
    </row>
    <row r="11" customFormat="false" ht="12.8" hidden="false" customHeight="false" outlineLevel="0" collapsed="false">
      <c r="H11" s="0" t="s">
        <v>4</v>
      </c>
    </row>
    <row r="12" customFormat="false" ht="12.8" hidden="false" customHeight="false" outlineLevel="0" collapsed="false">
      <c r="H12" s="0" t="s">
        <v>5</v>
      </c>
      <c r="I12" s="0" t="n">
        <f aca="false">$H$7</f>
        <v>0.981124271052608</v>
      </c>
    </row>
    <row r="13" customFormat="false" ht="12.8" hidden="false" customHeight="false" outlineLevel="0" collapsed="false">
      <c r="H13" s="0" t="s">
        <v>6</v>
      </c>
      <c r="I13" s="0" t="n">
        <f aca="false">$I$7</f>
        <v>0.170985126485564</v>
      </c>
    </row>
    <row r="14" customFormat="false" ht="12.8" hidden="false" customHeight="false" outlineLevel="0" collapsed="false">
      <c r="H14" s="0" t="s">
        <v>7</v>
      </c>
      <c r="I14" s="0" t="n">
        <f aca="false">1</f>
        <v>1</v>
      </c>
    </row>
    <row r="15" customFormat="false" ht="12.8" hidden="false" customHeight="false" outlineLevel="0" collapsed="false">
      <c r="H15" s="0" t="s">
        <v>8</v>
      </c>
      <c r="I15" s="0" t="n">
        <f aca="false">7</f>
        <v>7</v>
      </c>
    </row>
    <row r="16" customFormat="false" ht="12.8" hidden="false" customHeight="false" outlineLevel="0" collapsed="false">
      <c r="H16" s="0" t="s">
        <v>9</v>
      </c>
      <c r="I16" s="0" t="n">
        <f aca="false">1 - (1 - $H$7)*($I$15 - 1)/($I$15 - $I$14 - 1)</f>
        <v>0.97734912526313</v>
      </c>
    </row>
    <row r="18" customFormat="false" ht="12.8" hidden="false" customHeight="false" outlineLevel="0" collapsed="false">
      <c r="H18" s="0" t="s">
        <v>10</v>
      </c>
    </row>
    <row r="19" customFormat="false" ht="12.8" hidden="false" customHeight="false" outlineLevel="0" collapsed="false">
      <c r="I19" s="0" t="s">
        <v>11</v>
      </c>
      <c r="J19" s="0" t="s">
        <v>12</v>
      </c>
      <c r="K19" s="0" t="s">
        <v>13</v>
      </c>
      <c r="L19" s="0" t="s">
        <v>14</v>
      </c>
      <c r="M19" s="0" t="s">
        <v>15</v>
      </c>
    </row>
    <row r="20" customFormat="false" ht="12.8" hidden="false" customHeight="false" outlineLevel="0" collapsed="false">
      <c r="H20" s="0" t="s">
        <v>0</v>
      </c>
      <c r="I20" s="0" t="n">
        <f aca="false">$I$14</f>
        <v>1</v>
      </c>
      <c r="J20" s="0" t="n">
        <f aca="false">$H$9</f>
        <v>7.59813419149647</v>
      </c>
      <c r="K20" s="0" t="n">
        <f aca="false">$H$9 / $I$20</f>
        <v>7.59813419149647</v>
      </c>
      <c r="L20" s="0" t="n">
        <f aca="false">$H$8</f>
        <v>259.890432254847</v>
      </c>
      <c r="M20" s="0" t="n">
        <f aca="false">FDIST($H$8 , $I$20 , $I$8)</f>
        <v>1.67335666633475E-005</v>
      </c>
    </row>
    <row r="21" customFormat="false" ht="12.8" hidden="false" customHeight="false" outlineLevel="0" collapsed="false">
      <c r="H21" s="0" t="s">
        <v>16</v>
      </c>
      <c r="I21" s="0" t="n">
        <f aca="false">$I$8</f>
        <v>5</v>
      </c>
      <c r="J21" s="0" t="n">
        <f aca="false">$I$9</f>
        <v>0.146179567396421</v>
      </c>
      <c r="K21" s="0" t="n">
        <f aca="false">$I$9 / $I$8</f>
        <v>0.0292359134792842</v>
      </c>
    </row>
    <row r="22" customFormat="false" ht="12.8" hidden="false" customHeight="false" outlineLevel="0" collapsed="false">
      <c r="H22" s="0" t="s">
        <v>17</v>
      </c>
      <c r="I22" s="0" t="n">
        <f aca="false">$I$20 + $I$8</f>
        <v>6</v>
      </c>
      <c r="J22" s="0" t="n">
        <f aca="false">$H$9 + $I$9</f>
        <v>7.74431375889289</v>
      </c>
    </row>
    <row r="24" customFormat="false" ht="12.8" hidden="false" customHeight="false" outlineLevel="0" collapsed="false">
      <c r="H24" s="0" t="s">
        <v>18</v>
      </c>
      <c r="I24" s="0" t="n">
        <v>0.95</v>
      </c>
    </row>
    <row r="26" customFormat="false" ht="12.8" hidden="false" customHeight="false" outlineLevel="0" collapsed="false">
      <c r="I26" s="0" t="s">
        <v>19</v>
      </c>
      <c r="J26" s="0" t="s">
        <v>6</v>
      </c>
      <c r="K26" s="0" t="s">
        <v>20</v>
      </c>
      <c r="L26" s="0" t="s">
        <v>21</v>
      </c>
      <c r="M26" s="0" t="str">
        <f aca="false">_xlfn.CONCAT("Lower " , INT($I$24 * 100) , "%")</f>
        <v>Lower 95%</v>
      </c>
      <c r="N26" s="0" t="str">
        <f aca="false">_xlfn.CONCAT("Upper " , INT($I$24 * 100) , "%")</f>
        <v>Upper 95%</v>
      </c>
    </row>
    <row r="27" customFormat="false" ht="12.8" hidden="false" customHeight="false" outlineLevel="0" collapsed="false">
      <c r="H27" s="0" t="str">
        <f aca="false">"Intercept"</f>
        <v>Intercept</v>
      </c>
      <c r="I27" s="0" t="n">
        <f aca="false" t="array" ref="I27:I28">INDEX($H$5:$I$5, 1 , 29 - ROW())</f>
        <v>-5.23908313938447</v>
      </c>
      <c r="J27" s="0" t="n">
        <f aca="false" t="array" ref="J27:J28">INDEX($H$6:$I$6, 1 , 29 - ROW())</f>
        <v>0.133395564585417</v>
      </c>
      <c r="K27" s="0" t="n">
        <f aca="false" t="array" ref="K27:K28">$I$27:$I$28 / $J$27:$J$28</f>
        <v>-39.2747926489695</v>
      </c>
      <c r="L27" s="0" t="n">
        <f aca="false" t="array" ref="L27:L28">TDIST(ABS($K$27:$K$28) , $I$8 , 2 )</f>
        <v>2.01707695374054E-007</v>
      </c>
      <c r="M27" s="0" t="n">
        <f aca="false" t="array" ref="M27:M28">$I$27:$I$28 - $J$27:$J$28 * TINV(1 - $I$24 , $I$8)</f>
        <v>-5.58198735466219</v>
      </c>
      <c r="N27" s="0" t="n">
        <f aca="false" t="array" ref="N27:N28">$I$27:$I$28 + $J$27:$J$28 * TINV(1 - $I$24 , $I$8)</f>
        <v>-4.89617892410674</v>
      </c>
    </row>
    <row r="28" customFormat="false" ht="12.8" hidden="false" customHeight="false" outlineLevel="0" collapsed="false">
      <c r="H28" s="0" t="str">
        <f aca="false">"X1"</f>
        <v>X1</v>
      </c>
      <c r="I28" s="0" t="n">
        <v>1.37533630816418</v>
      </c>
      <c r="J28" s="0" t="n">
        <v>0.0853127148747234</v>
      </c>
      <c r="K28" s="0" t="n">
        <v>16.12111758703</v>
      </c>
      <c r="L28" s="0" t="n">
        <v>1.67335666633475E-005</v>
      </c>
      <c r="M28" s="0" t="n">
        <v>1.15603299295839</v>
      </c>
      <c r="N28" s="0" t="n">
        <v>1.59463962336996</v>
      </c>
    </row>
    <row r="30" customFormat="false" ht="12.8" hidden="false" customHeight="false" outlineLevel="0" collapsed="false">
      <c r="H30" s="0" t="str">
        <f aca="false">"X1"</f>
        <v>X1</v>
      </c>
      <c r="I30" s="0" t="s">
        <v>22</v>
      </c>
      <c r="J30" s="0" t="str">
        <f aca="false">"Y"</f>
        <v>Y</v>
      </c>
      <c r="K30" s="0" t="s">
        <v>16</v>
      </c>
    </row>
    <row r="31" customFormat="false" ht="12.8" hidden="false" customHeight="false" outlineLevel="0" collapsed="false">
      <c r="H31" s="0" t="n">
        <f aca="false" t="array" ref="H31:H37">$E$1:$E$7</f>
        <v>2.30258509299405</v>
      </c>
      <c r="I31" s="0" t="n">
        <f aca="false" t="array" ref="I31:I37">MMULT($H$31:$H$37 , $I$28) + $I$27</f>
        <v>-2.07225425835217</v>
      </c>
      <c r="J31" s="0" t="n">
        <f aca="false" t="array" ref="J31:J37">$F$1:$F$7</f>
        <v>-2.01515305179747</v>
      </c>
      <c r="K31" s="0" t="n">
        <f aca="false" t="array" ref="K31:K37">$J$31:$J$37 - $I$31:$I$37</f>
        <v>0.057101206554699</v>
      </c>
    </row>
    <row r="32" customFormat="false" ht="12.8" hidden="false" customHeight="false" outlineLevel="0" collapsed="false">
      <c r="H32" s="0" t="n">
        <v>2.07944154167984</v>
      </c>
      <c r="I32" s="0" t="n">
        <v>-2.3791516864073</v>
      </c>
      <c r="J32" s="0" t="n">
        <v>-2.27205588795922</v>
      </c>
      <c r="K32" s="0" t="n">
        <v>0.107095798448079</v>
      </c>
    </row>
    <row r="33" customFormat="false" ht="12.8" hidden="false" customHeight="false" outlineLevel="0" collapsed="false">
      <c r="H33" s="0" t="n">
        <v>1.79175946922806</v>
      </c>
      <c r="I33" s="0" t="n">
        <v>-2.77481128585815</v>
      </c>
      <c r="J33" s="0" t="n">
        <v>-2.72113544065087</v>
      </c>
      <c r="K33" s="0" t="n">
        <v>0.0536758452072874</v>
      </c>
    </row>
    <row r="34" customFormat="false" ht="12.8" hidden="false" customHeight="false" outlineLevel="0" collapsed="false">
      <c r="H34" s="0" t="n">
        <v>1.6094379124341</v>
      </c>
      <c r="I34" s="0" t="n">
        <v>-3.0255647426779</v>
      </c>
      <c r="J34" s="0" t="n">
        <v>-3.19418321227783</v>
      </c>
      <c r="K34" s="0" t="n">
        <v>-0.168618469599934</v>
      </c>
    </row>
    <row r="35" customFormat="false" ht="12.8" hidden="false" customHeight="false" outlineLevel="0" collapsed="false">
      <c r="H35" s="0" t="n">
        <v>1.09861228866811</v>
      </c>
      <c r="I35" s="0" t="n">
        <v>-3.72812177018387</v>
      </c>
      <c r="J35" s="0" t="n">
        <v>-3.73806969830471</v>
      </c>
      <c r="K35" s="0" t="n">
        <v>-0.00994792812083345</v>
      </c>
    </row>
    <row r="36" customFormat="false" ht="12.8" hidden="false" customHeight="false" outlineLevel="0" collapsed="false">
      <c r="H36" s="0" t="n">
        <v>0.693147180559945</v>
      </c>
      <c r="I36" s="0" t="n">
        <v>-4.28577265505875</v>
      </c>
      <c r="J36" s="0" t="n">
        <v>-4.52820914485196</v>
      </c>
      <c r="K36" s="0" t="n">
        <v>-0.242436489793217</v>
      </c>
    </row>
    <row r="37" customFormat="false" ht="12.8" hidden="false" customHeight="false" outlineLevel="0" collapsed="false">
      <c r="H37" s="0" t="n">
        <v>0</v>
      </c>
      <c r="I37" s="0" t="n">
        <v>-5.23908313938447</v>
      </c>
      <c r="J37" s="0" t="n">
        <v>-5.03595310208055</v>
      </c>
      <c r="K37" s="0" t="n">
        <v>0.203130037303922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2026-02-13T14:19:20Z</dcterms:created>
  <dc:creator/>
  <dc:description/>
  <dc:language>en-IN</dc:language>
  <cp:lastModifiedBy/>
  <dcterms:modified xsi:type="dcterms:W3CDTF">2026-02-13T17:18:57Z</dcterms:modified>
  <cp:revision>3</cp:revision>
  <dc:subject/>
  <dc:title/>
</cp:coreProperties>
</file>